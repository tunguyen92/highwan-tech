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eProject\highwan-tech\public\documents\"/>
    </mc:Choice>
  </mc:AlternateContent>
  <xr:revisionPtr revIDLastSave="0" documentId="13_ncr:1_{594AD0AD-9CAF-4095-9F79-48ADEDE913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22025" sheetId="1" r:id="rId1"/>
  </sheets>
  <calcPr calcId="181029"/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<sst xmlns="http://schemas.openxmlformats.org/spreadsheetml/2006/main" count="86" uniqueCount="54">
  <si>
    <t>CÔNG TY TNHH HIGHWAN TECH VIETNAM</t>
  </si>
  <si>
    <t>BẢNG LƯƠNG CÁ NHÂN THÁNG 12/2025</t>
  </si>
  <si>
    <t>Từ 26/11/2025 đến 25/12/2025</t>
  </si>
  <si>
    <t>Họ và tên:</t>
  </si>
  <si>
    <t>Trần Thị Bé</t>
  </si>
  <si>
    <t>Ngày sinh:</t>
  </si>
  <si>
    <t>Bộ phận:</t>
  </si>
  <si>
    <t>Công nhân/sản xuất</t>
  </si>
  <si>
    <t>Code/ Mã:</t>
  </si>
  <si>
    <t>THÔNG TIN CƠ BẢN</t>
  </si>
  <si>
    <t>Description/Mô tả</t>
  </si>
  <si>
    <t>Kết quả/ Result</t>
  </si>
  <si>
    <t>Số ngày làm việc trong tháng</t>
  </si>
  <si>
    <t>Ngày</t>
  </si>
  <si>
    <t>Nghỉ lễ, kết hôn, tang chế</t>
  </si>
  <si>
    <t>Số ngày nghỉ trong tháng</t>
  </si>
  <si>
    <t>Nghỉ ốm, Thai sản</t>
  </si>
  <si>
    <t>Nghỉ không lương</t>
  </si>
  <si>
    <t>Số ngày làm việc thực tế (ngày)</t>
  </si>
  <si>
    <t>Tăng ca 150%</t>
  </si>
  <si>
    <t>Giờ</t>
  </si>
  <si>
    <t>Tăng ca 200%</t>
  </si>
  <si>
    <t>Tăng ca 300%</t>
  </si>
  <si>
    <t>Tăng ca 210%</t>
  </si>
  <si>
    <t>Tăng ca 270%</t>
  </si>
  <si>
    <t>Tăng ca 390%</t>
  </si>
  <si>
    <t>Lương cơ bản</t>
  </si>
  <si>
    <t>VND</t>
  </si>
  <si>
    <t>Hỗ trợ xăng xe, nhà ở</t>
  </si>
  <si>
    <t>Tổng lương (1)</t>
  </si>
  <si>
    <t>LƯƠNG, THUẾ</t>
  </si>
  <si>
    <t>Các khoảng thu</t>
  </si>
  <si>
    <t>Tiền điện thoại</t>
  </si>
  <si>
    <t>Tiền phép năm</t>
  </si>
  <si>
    <t>Tiền ngày lễ</t>
  </si>
  <si>
    <t>Phí gia công</t>
  </si>
  <si>
    <t>Thưởng Tết</t>
  </si>
  <si>
    <t>Tổng thu nhập (2)</t>
  </si>
  <si>
    <t>Các khoảng khấu trừ</t>
  </si>
  <si>
    <t>Tổng BHXH</t>
  </si>
  <si>
    <t>Công đoàn</t>
  </si>
  <si>
    <t>-</t>
  </si>
  <si>
    <t>Thuế TNCN</t>
  </si>
  <si>
    <t>Tổng khấu trừ (3)</t>
  </si>
  <si>
    <t>Lương thực nhận = (1) + (2) - (3)</t>
  </si>
  <si>
    <t>Người nhận</t>
  </si>
  <si>
    <t>(ký và ghi họ tên)</t>
  </si>
  <si>
    <t>Tiền tăng ca ngày thường (150%)</t>
  </si>
  <si>
    <t>Tiền tăng ca chủ nhật (200%)</t>
  </si>
  <si>
    <t>Tiền cơm tăng ca</t>
  </si>
  <si>
    <t>Tiền cơm trưa</t>
  </si>
  <si>
    <t>Tiền tăng ca ngày lễ (300%)</t>
  </si>
  <si>
    <t>Bù lương</t>
  </si>
  <si>
    <t>Hỗ trợ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</si>
</sst>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.0_);_(@_)"/>
  </numFmts>
  <fonts count="11">
    <font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theme="0" tint="-0.24994659260841701"/>
      </bottom>
      <diagonal/>
    </border>
    <border>
      <left/>
      <right/>
      <top style="thin">
        <color auto="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hair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/>
      <top style="hair">
        <color theme="0" tint="-0.24994659260841701"/>
      </top>
      <bottom style="thin">
        <color auto="1"/>
      </bottom>
      <diagonal/>
    </border>
    <border>
      <left/>
      <right/>
      <top style="hair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hair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theme="0" tint="-0.24994659260841701"/>
      </bottom>
      <diagonal/>
    </border>
    <border>
      <left/>
      <right style="thin">
        <color auto="1"/>
      </right>
      <top/>
      <bottom style="hair">
        <color theme="0" tint="-0.24994659260841701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78">
    <xf numFmtId="0" fontId="0" fillId="0" borderId="0" xfId="0"/>
    <xf numFmtId="165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0" fillId="0" borderId="5" xfId="0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5" fontId="6" fillId="0" borderId="11" xfId="1" applyNumberFormat="1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165" fontId="6" fillId="0" borderId="14" xfId="1" applyNumberFormat="1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166" fontId="6" fillId="0" borderId="14" xfId="1" applyNumberFormat="1" applyFont="1" applyBorder="1" applyAlignment="1">
      <alignment horizontal="right"/>
    </xf>
    <xf numFmtId="166" fontId="7" fillId="0" borderId="14" xfId="1" applyNumberFormat="1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165" fontId="6" fillId="0" borderId="14" xfId="1" applyNumberFormat="1" applyFont="1" applyFill="1" applyBorder="1" applyAlignment="1">
      <alignment horizontal="right"/>
    </xf>
    <xf numFmtId="165" fontId="7" fillId="0" borderId="20" xfId="1" applyNumberFormat="1" applyFont="1" applyBorder="1" applyAlignment="1">
      <alignment horizontal="right"/>
    </xf>
    <xf numFmtId="0" fontId="7" fillId="0" borderId="21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165" fontId="6" fillId="0" borderId="25" xfId="1" applyNumberFormat="1" applyFont="1" applyBorder="1" applyAlignment="1">
      <alignment horizontal="right"/>
    </xf>
    <xf numFmtId="165" fontId="6" fillId="0" borderId="24" xfId="1" applyNumberFormat="1" applyFont="1" applyBorder="1" applyAlignment="1">
      <alignment horizontal="right"/>
    </xf>
    <xf numFmtId="165" fontId="7" fillId="0" borderId="26" xfId="1" applyNumberFormat="1" applyFont="1" applyBorder="1" applyAlignment="1">
      <alignment horizontal="right"/>
    </xf>
    <xf numFmtId="165" fontId="6" fillId="0" borderId="27" xfId="1" applyNumberFormat="1" applyFont="1" applyBorder="1" applyAlignment="1">
      <alignment horizontal="right"/>
    </xf>
    <xf numFmtId="0" fontId="6" fillId="0" borderId="22" xfId="0" applyFont="1" applyBorder="1" applyAlignment="1">
      <alignment horizontal="right"/>
    </xf>
    <xf numFmtId="165" fontId="6" fillId="0" borderId="13" xfId="1" applyNumberFormat="1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165" fontId="7" fillId="0" borderId="30" xfId="1" applyNumberFormat="1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165" fontId="7" fillId="0" borderId="30" xfId="1" applyNumberFormat="1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165" fontId="7" fillId="0" borderId="0" xfId="1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32" xfId="0" applyBorder="1"/>
    <xf numFmtId="0" fontId="0" fillId="0" borderId="33" xfId="0" applyBorder="1"/>
    <xf numFmtId="165" fontId="0" fillId="0" borderId="33" xfId="1" applyNumberFormat="1" applyFont="1" applyBorder="1"/>
    <xf numFmtId="0" fontId="0" fillId="0" borderId="34" xfId="0" applyBorder="1"/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0" xfId="0" applyFont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27" xfId="0" applyFont="1" applyBorder="1"/>
    <xf numFmtId="0" fontId="6" fillId="0" borderId="28" xfId="0" applyFont="1" applyBorder="1"/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6" zoomScale="85" zoomScaleNormal="85" workbookViewId="0">
      <selection activeCell="I33" sqref="I33"/>
    </sheetView>
  </sheetViews>
  <sheetFormatPr defaultColWidth="9" defaultRowHeight="15"/>
  <cols>
    <col min="1" max="1" width="3.42578125" customWidth="1"/>
    <col min="2" max="2" width="10.7109375" customWidth="1"/>
    <col min="3" max="3" width="11.7109375" customWidth="1"/>
    <col min="4" max="4" width="30.7109375" style="1" customWidth="1"/>
    <col min="5" max="5" width="16.85546875" style="1" customWidth="1"/>
    <col min="6" max="6" width="6.5703125" customWidth="1"/>
    <col min="7" max="7" width="4.140625" customWidth="1"/>
  </cols>
  <sheetData>
    <row r="1" spans="1:8" ht="27" customHeight="1">
      <c r="A1" s="2"/>
      <c r="B1" s="3"/>
      <c r="C1" s="43" t="s">
        <v>0</v>
      </c>
      <c r="D1" s="43"/>
      <c r="E1" s="43"/>
      <c r="F1" s="43"/>
      <c r="G1" s="4"/>
    </row>
    <row r="2" spans="1:8" ht="18" customHeight="1">
      <c r="A2" s="5"/>
      <c r="C2" s="44" t="s">
        <v>1</v>
      </c>
      <c r="D2" s="44"/>
      <c r="E2" s="44"/>
      <c r="F2" s="44"/>
      <c r="G2" s="7"/>
    </row>
    <row r="3" spans="1:8" ht="18" customHeight="1">
      <c r="A3" s="5"/>
      <c r="C3" s="44" t="s">
        <v>2</v>
      </c>
      <c r="D3" s="44"/>
      <c r="E3" s="44"/>
      <c r="F3" s="44"/>
      <c r="G3" s="7"/>
    </row>
    <row r="4" spans="1:8" ht="18" customHeight="1">
      <c r="A4" s="5"/>
      <c r="C4" s="8" t="s">
        <v>3</v>
      </c>
      <c r="D4" s="8" t="s">
        <v>4</v>
      </c>
      <c r="E4" s="8"/>
      <c r="F4" s="8"/>
      <c r="G4" s="7"/>
    </row>
    <row r="5" spans="1:8" ht="18" customHeight="1">
      <c r="A5" s="5"/>
      <c r="C5" s="9" t="s">
        <v>5</v>
      </c>
      <c r="D5" s="10"/>
      <c r="E5" s="10"/>
      <c r="F5" s="10"/>
      <c r="G5" s="7"/>
    </row>
    <row r="6" spans="1:8" ht="18" customHeight="1">
      <c r="A6" s="5"/>
      <c r="C6" s="8" t="s">
        <v>6</v>
      </c>
      <c r="D6" s="8" t="s">
        <v>7</v>
      </c>
      <c r="E6" s="8"/>
      <c r="F6" s="8"/>
      <c r="G6" s="7"/>
    </row>
    <row r="7" spans="1:8" ht="18" customHeight="1">
      <c r="A7" s="5"/>
      <c r="C7" s="8" t="s">
        <v>8</v>
      </c>
      <c r="D7" s="10"/>
      <c r="E7" s="8"/>
      <c r="F7" s="8"/>
      <c r="G7" s="7"/>
    </row>
    <row r="8" spans="1:8" ht="18" customHeight="1">
      <c r="A8" s="5"/>
      <c r="C8" s="45"/>
      <c r="D8" s="45"/>
      <c r="E8" s="45"/>
      <c r="F8" s="45"/>
      <c r="G8" s="7"/>
    </row>
    <row r="9" spans="1:8" ht="18" customHeight="1">
      <c r="A9" s="5"/>
      <c r="B9" s="66" t="s">
        <v>9</v>
      </c>
      <c r="C9" s="46" t="s">
        <v>10</v>
      </c>
      <c r="D9" s="47"/>
      <c r="E9" s="48" t="s">
        <v>11</v>
      </c>
      <c r="F9" s="48"/>
      <c r="G9" s="7"/>
    </row>
    <row r="10" spans="1:8" ht="18" customHeight="1">
      <c r="A10" s="5"/>
      <c r="B10" s="67"/>
      <c r="C10" s="49" t="s">
        <v>12</v>
      </c>
      <c r="D10" s="50"/>
      <c r="E10" s="11">
        <v>26</v>
      </c>
      <c r="F10" s="12" t="s">
        <v>13</v>
      </c>
      <c r="G10" s="7"/>
    </row>
    <row r="11" spans="1:8" ht="18" customHeight="1">
      <c r="A11" s="5"/>
      <c r="B11" s="67"/>
      <c r="C11" s="51" t="s">
        <v>14</v>
      </c>
      <c r="D11" s="52"/>
      <c r="E11" s="13">
        <v>0</v>
      </c>
      <c r="F11" s="14" t="s">
        <v>13</v>
      </c>
      <c r="G11" s="7"/>
    </row>
    <row r="12" spans="1:8" ht="18" customHeight="1">
      <c r="A12" s="5"/>
      <c r="B12" s="67"/>
      <c r="C12" s="51" t="s">
        <v>15</v>
      </c>
      <c r="D12" s="52"/>
      <c r="E12" s="15">
        <v>1</v>
      </c>
      <c r="F12" s="14" t="s">
        <v>13</v>
      </c>
      <c r="G12" s="7"/>
    </row>
    <row r="13" spans="1:8" s="1" customFormat="1" ht="18" customHeight="1">
      <c r="A13" s="5"/>
      <c r="B13" s="67"/>
      <c r="C13" s="51" t="s">
        <v>16</v>
      </c>
      <c r="D13" s="52"/>
      <c r="E13" s="13">
        <v>0</v>
      </c>
      <c r="F13" s="14" t="s">
        <v>13</v>
      </c>
      <c r="G13" s="7"/>
      <c r="H13"/>
    </row>
    <row r="14" spans="1:8" s="1" customFormat="1" ht="18" customHeight="1">
      <c r="A14" s="5"/>
      <c r="B14" s="67"/>
      <c r="C14" s="51" t="s">
        <v>17</v>
      </c>
      <c r="D14" s="52"/>
      <c r="E14" s="15">
        <v>2</v>
      </c>
      <c r="F14" s="14" t="s">
        <v>13</v>
      </c>
      <c r="G14" s="7"/>
      <c r="H14"/>
    </row>
    <row r="15" spans="1:8" s="1" customFormat="1" ht="18" customHeight="1">
      <c r="A15" s="5"/>
      <c r="B15" s="67"/>
      <c r="C15" s="53" t="s">
        <v>18</v>
      </c>
      <c r="D15" s="54"/>
      <c r="E15" s="16">
        <v>24</v>
      </c>
      <c r="F15" s="17" t="s">
        <v>13</v>
      </c>
      <c r="G15" s="7"/>
      <c r="H15"/>
    </row>
    <row r="16" spans="1:8" s="1" customFormat="1" ht="18" customHeight="1">
      <c r="A16" s="5"/>
      <c r="B16" s="67"/>
      <c r="C16" s="51" t="s">
        <v>19</v>
      </c>
      <c r="D16" s="52"/>
      <c r="E16" s="13">
        <v>32</v>
      </c>
      <c r="F16" s="14" t="s">
        <v>20</v>
      </c>
      <c r="G16" s="7"/>
      <c r="H16"/>
    </row>
    <row r="17" spans="1:7" ht="18" customHeight="1">
      <c r="A17" s="5"/>
      <c r="B17" s="67"/>
      <c r="C17" s="51" t="s">
        <v>21</v>
      </c>
      <c r="D17" s="52"/>
      <c r="E17" s="13">
        <v>0</v>
      </c>
      <c r="F17" s="14" t="s">
        <v>20</v>
      </c>
      <c r="G17" s="7"/>
    </row>
    <row r="18" spans="1:7" ht="18" customHeight="1">
      <c r="A18" s="5"/>
      <c r="B18" s="67"/>
      <c r="C18" s="51" t="s">
        <v>22</v>
      </c>
      <c r="D18" s="52"/>
      <c r="E18" s="13">
        <v>0</v>
      </c>
      <c r="F18" s="14" t="s">
        <v>20</v>
      </c>
      <c r="G18" s="7"/>
    </row>
    <row r="19" spans="1:7" ht="18" customHeight="1">
      <c r="A19" s="5"/>
      <c r="B19" s="67"/>
      <c r="C19" s="51" t="s">
        <v>23</v>
      </c>
      <c r="D19" s="52"/>
      <c r="E19" s="13">
        <v>0</v>
      </c>
      <c r="F19" s="14" t="s">
        <v>20</v>
      </c>
      <c r="G19" s="7"/>
    </row>
    <row r="20" spans="1:7" ht="18" customHeight="1">
      <c r="A20" s="5"/>
      <c r="B20" s="67"/>
      <c r="C20" s="51" t="s">
        <v>24</v>
      </c>
      <c r="D20" s="52"/>
      <c r="E20" s="13">
        <v>0</v>
      </c>
      <c r="F20" s="14" t="s">
        <v>20</v>
      </c>
      <c r="G20" s="7"/>
    </row>
    <row r="21" spans="1:7" ht="18" customHeight="1">
      <c r="A21" s="5"/>
      <c r="B21" s="67"/>
      <c r="C21" s="51" t="s">
        <v>25</v>
      </c>
      <c r="D21" s="52"/>
      <c r="E21" s="13">
        <v>0</v>
      </c>
      <c r="F21" s="14" t="s">
        <v>20</v>
      </c>
      <c r="G21" s="7"/>
    </row>
    <row r="22" spans="1:7" ht="18" customHeight="1">
      <c r="A22" s="5"/>
      <c r="B22" s="67"/>
      <c r="C22" s="51" t="s">
        <v>26</v>
      </c>
      <c r="D22" s="52"/>
      <c r="E22" s="13">
        <v>5000000</v>
      </c>
      <c r="F22" s="14" t="s">
        <v>27</v>
      </c>
      <c r="G22" s="7"/>
    </row>
    <row r="23" spans="1:7" ht="18" customHeight="1">
      <c r="A23" s="5"/>
      <c r="B23" s="67"/>
      <c r="C23" s="51" t="s">
        <v>28</v>
      </c>
      <c r="D23" s="52"/>
      <c r="E23" s="18">
        <v>1500000</v>
      </c>
      <c r="F23" s="14" t="s">
        <v>27</v>
      </c>
      <c r="G23" s="7"/>
    </row>
    <row r="24" spans="1:7" ht="18" customHeight="1">
      <c r="A24" s="5"/>
      <c r="B24" s="67"/>
      <c r="C24" s="55" t="s">
        <v>29</v>
      </c>
      <c r="D24" s="56"/>
      <c r="E24" s="19">
        <v>6000000</v>
      </c>
      <c r="F24" s="20" t="s">
        <v>27</v>
      </c>
      <c r="G24" s="7"/>
    </row>
    <row r="25" spans="1:7" ht="18" customHeight="1">
      <c r="A25" s="5"/>
      <c r="B25" s="68" t="s">
        <v>30</v>
      </c>
      <c r="C25" s="58" t="s">
        <v>31</v>
      </c>
      <c r="D25" s="59"/>
      <c r="E25" s="59"/>
      <c r="F25" s="60"/>
      <c r="G25" s="7"/>
    </row>
    <row r="26" spans="1:7" ht="18" customHeight="1">
      <c r="A26" s="5"/>
      <c r="B26" s="69"/>
      <c r="C26" s="51" t="s">
        <v>32</v>
      </c>
      <c r="D26" s="52"/>
      <c r="E26" s="13">
        <v>461538</v>
      </c>
      <c r="F26" s="14" t="s">
        <v>27</v>
      </c>
      <c r="G26" s="7"/>
    </row>
    <row r="27" spans="1:7" ht="18" customHeight="1">
      <c r="A27" s="5"/>
      <c r="B27" s="69"/>
      <c r="C27" s="61" t="s">
        <v>50</v>
      </c>
      <c r="D27" s="62"/>
      <c r="E27" s="13"/>
      <c r="F27" s="21" t="s">
        <v>27</v>
      </c>
      <c r="G27" s="7"/>
    </row>
    <row r="28" spans="1:7" ht="18" customHeight="1">
      <c r="A28" s="5"/>
      <c r="B28" s="69"/>
      <c r="C28" s="61" t="s">
        <v>47</v>
      </c>
      <c r="D28" s="62"/>
      <c r="E28" s="13"/>
      <c r="F28" s="21" t="s">
        <v>27</v>
      </c>
      <c r="G28" s="7"/>
    </row>
    <row r="29" spans="1:7" ht="18" customHeight="1">
      <c r="A29" s="5"/>
      <c r="B29" s="69"/>
      <c r="C29" s="61" t="s">
        <v>48</v>
      </c>
      <c r="D29" s="62"/>
      <c r="E29" s="13"/>
      <c r="F29" s="21" t="s">
        <v>27</v>
      </c>
      <c r="G29" s="7"/>
    </row>
    <row r="30" spans="1:7" ht="18" customHeight="1">
      <c r="A30" s="5"/>
      <c r="B30" s="69"/>
      <c r="C30" s="51" t="s">
        <v>51</v>
      </c>
      <c r="D30" s="52"/>
      <c r="E30" s="13">
        <v>1153846</v>
      </c>
      <c r="F30" s="21" t="s">
        <v>27</v>
      </c>
      <c r="G30" s="7"/>
    </row>
    <row r="31" spans="1:7" ht="18" customHeight="1">
      <c r="A31" s="5"/>
      <c r="B31" s="69"/>
      <c r="C31" s="51" t="s">
        <v>49</v>
      </c>
      <c r="D31" s="52"/>
      <c r="E31" s="13">
        <v>240000</v>
      </c>
      <c r="F31" s="21" t="s">
        <v>27</v>
      </c>
      <c r="G31" s="7"/>
    </row>
    <row r="32" spans="1:7" ht="18" customHeight="1">
      <c r="A32" s="5"/>
      <c r="B32" s="69"/>
      <c r="C32" s="51" t="s">
        <v>33</v>
      </c>
      <c r="D32" s="52"/>
      <c r="E32" s="22"/>
      <c r="F32" s="21" t="s">
        <v>27</v>
      </c>
      <c r="G32" s="7"/>
    </row>
    <row r="33" spans="1:7" ht="18" customHeight="1">
      <c r="A33" s="5"/>
      <c r="B33" s="69"/>
      <c r="C33" s="51" t="s">
        <v>34</v>
      </c>
      <c r="D33" s="52"/>
      <c r="E33" s="22"/>
      <c r="F33" s="21" t="s">
        <v>27</v>
      </c>
      <c r="G33" s="7"/>
    </row>
    <row r="34" spans="1:7" ht="18" customHeight="1">
      <c r="A34" s="5"/>
      <c r="B34" s="69"/>
      <c r="C34" s="51" t="s">
        <v>35</v>
      </c>
      <c r="D34" s="52"/>
      <c r="E34" s="22"/>
      <c r="F34" s="21" t="s">
        <v>27</v>
      </c>
      <c r="G34" s="7"/>
    </row>
    <row r="35" spans="1:7" ht="18" customHeight="1">
      <c r="A35" s="5"/>
      <c r="B35" s="69"/>
      <c r="C35" s="61" t="s">
        <v>52</v>
      </c>
      <c r="D35" s="62"/>
      <c r="E35" s="23"/>
      <c r="F35" s="21" t="s">
        <v>27</v>
      </c>
      <c r="G35" s="7"/>
    </row>
    <row r="36" spans="1:7" ht="18" customHeight="1">
      <c r="A36" s="5"/>
      <c r="B36" s="69"/>
      <c r="C36" s="51" t="s">
        <v>36</v>
      </c>
      <c r="D36" s="57"/>
      <c r="E36" s="23"/>
      <c r="F36" s="21" t="s">
        <v>27</v>
      </c>
      <c r="G36" s="7"/>
    </row>
    <row r="37" spans="1:7" ht="18" customHeight="1">
      <c r="A37" s="5"/>
      <c r="B37" s="69"/>
      <c r="C37" s="76" t="s">
        <v>53</v>
      </c>
      <c r="D37" s="77"/>
      <c r="E37" s="23"/>
      <c r="F37" s="21" t="s">
        <v>27</v>
      </c>
      <c r="G37" s="7"/>
    </row>
    <row r="38" spans="1:7" ht="18" customHeight="1">
      <c r="A38" s="5"/>
      <c r="B38" s="69"/>
      <c r="C38" s="55" t="s">
        <v>37</v>
      </c>
      <c r="D38" s="56"/>
      <c r="E38" s="24">
        <v>2545385</v>
      </c>
      <c r="F38" s="21" t="s">
        <v>27</v>
      </c>
      <c r="G38" s="7"/>
    </row>
    <row r="39" spans="1:7" ht="18" customHeight="1">
      <c r="A39" s="5"/>
      <c r="B39" s="69"/>
      <c r="C39" s="71" t="s">
        <v>38</v>
      </c>
      <c r="D39" s="72"/>
      <c r="E39" s="72"/>
      <c r="F39" s="73"/>
      <c r="G39" s="7"/>
    </row>
    <row r="40" spans="1:7" ht="18" customHeight="1">
      <c r="A40" s="5"/>
      <c r="B40" s="69"/>
      <c r="C40" s="74" t="s">
        <v>39</v>
      </c>
      <c r="D40" s="75"/>
      <c r="E40" s="25">
        <v>525000</v>
      </c>
      <c r="F40" s="26" t="s">
        <v>27</v>
      </c>
      <c r="G40" s="7"/>
    </row>
    <row r="41" spans="1:7" ht="18" customHeight="1">
      <c r="A41" s="5"/>
      <c r="B41" s="69"/>
      <c r="C41" s="51" t="s">
        <v>40</v>
      </c>
      <c r="D41" s="52"/>
      <c r="E41" s="27" t="s">
        <v>41</v>
      </c>
      <c r="F41" s="28" t="s">
        <v>27</v>
      </c>
      <c r="G41" s="7"/>
    </row>
    <row r="42" spans="1:7" ht="18" customHeight="1">
      <c r="A42" s="5"/>
      <c r="B42" s="69"/>
      <c r="C42" s="51" t="s">
        <v>42</v>
      </c>
      <c r="D42" s="52"/>
      <c r="E42" s="27" t="s">
        <v>41</v>
      </c>
      <c r="F42" s="28" t="s">
        <v>27</v>
      </c>
      <c r="G42" s="7"/>
    </row>
    <row r="43" spans="1:7" ht="18" customHeight="1">
      <c r="A43" s="5"/>
      <c r="B43" s="69"/>
      <c r="C43" s="55" t="s">
        <v>43</v>
      </c>
      <c r="D43" s="56"/>
      <c r="E43" s="29">
        <v>525000</v>
      </c>
      <c r="F43" s="30" t="s">
        <v>27</v>
      </c>
      <c r="G43" s="7"/>
    </row>
    <row r="44" spans="1:7" ht="18" customHeight="1">
      <c r="A44" s="5"/>
      <c r="B44" s="70"/>
      <c r="C44" s="63" t="s">
        <v>44</v>
      </c>
      <c r="D44" s="64"/>
      <c r="E44" s="31">
        <f>E24+E38-E43</f>
        <v>8020385</v>
      </c>
      <c r="F44" s="32" t="s">
        <v>27</v>
      </c>
      <c r="G44" s="7"/>
    </row>
    <row r="45" spans="1:7" ht="9.9499999999999993" customHeight="1">
      <c r="A45" s="5"/>
      <c r="B45" s="33"/>
      <c r="C45" s="34"/>
      <c r="D45" s="34"/>
      <c r="E45" s="35"/>
      <c r="F45" s="36"/>
      <c r="G45" s="7"/>
    </row>
    <row r="46" spans="1:7" ht="18" customHeight="1">
      <c r="A46" s="5"/>
      <c r="C46" s="6"/>
      <c r="D46" s="44" t="s">
        <v>45</v>
      </c>
      <c r="E46" s="44"/>
      <c r="G46" s="7"/>
    </row>
    <row r="47" spans="1:7" ht="18" customHeight="1">
      <c r="A47" s="5"/>
      <c r="C47" s="37"/>
      <c r="D47" s="65" t="s">
        <v>46</v>
      </c>
      <c r="E47" s="65"/>
      <c r="G47" s="7"/>
    </row>
    <row r="48" spans="1:7" ht="18" customHeight="1">
      <c r="A48" s="5"/>
      <c r="C48" s="38"/>
      <c r="E48" s="38"/>
      <c r="G48" s="7"/>
    </row>
    <row r="49" spans="1:7" ht="18" customHeight="1">
      <c r="A49" s="5"/>
      <c r="C49" s="6"/>
      <c r="D49" s="6"/>
      <c r="E49" s="6"/>
      <c r="G49" s="7"/>
    </row>
    <row r="50" spans="1:7" ht="18" customHeight="1">
      <c r="A50" s="5"/>
      <c r="C50" s="6"/>
      <c r="D50" s="44" t="s">
        <v>4</v>
      </c>
      <c r="E50" s="44"/>
      <c r="G50" s="7"/>
    </row>
    <row r="51" spans="1:7" ht="18" customHeight="1">
      <c r="A51" s="39"/>
      <c r="B51" s="40"/>
      <c r="C51" s="40"/>
      <c r="D51" s="41"/>
      <c r="E51" s="40"/>
      <c r="F51" s="40"/>
      <c r="G51" s="42"/>
    </row>
  </sheetData>
  <mergeCells count="46">
    <mergeCell ref="C44:D44"/>
    <mergeCell ref="D46:E46"/>
    <mergeCell ref="D47:E47"/>
    <mergeCell ref="D50:E50"/>
    <mergeCell ref="B9:B24"/>
    <mergeCell ref="B25:B44"/>
    <mergeCell ref="C28:D28"/>
    <mergeCell ref="C29:D29"/>
    <mergeCell ref="C39:F39"/>
    <mergeCell ref="C40:D40"/>
    <mergeCell ref="C41:D41"/>
    <mergeCell ref="C42:D42"/>
    <mergeCell ref="C43:D43"/>
    <mergeCell ref="C32:D32"/>
    <mergeCell ref="C33:D33"/>
    <mergeCell ref="C34:D34"/>
    <mergeCell ref="C36:D36"/>
    <mergeCell ref="C38:D38"/>
    <mergeCell ref="C25:F25"/>
    <mergeCell ref="C26:D26"/>
    <mergeCell ref="C30:D30"/>
    <mergeCell ref="C31:D31"/>
    <mergeCell ref="C27:D27"/>
    <mergeCell ref="C35:D35"/>
    <mergeCell ref="C37:D37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1:F1"/>
    <mergeCell ref="C2:F2"/>
    <mergeCell ref="C3:F3"/>
    <mergeCell ref="C8:F8"/>
    <mergeCell ref="C9:D9"/>
    <mergeCell ref="E9:F9"/>
  </mergeCells>
  <pageMargins left="0.25" right="0" top="0.25" bottom="0" header="0.3" footer="0.3"/>
  <pageSetup paperSize="11"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Thủy Nguyễn</dc:creator>
  <cp:lastModifiedBy>Thủy Nguyễn</cp:lastModifiedBy>
  <dcterms:created xsi:type="dcterms:W3CDTF">2026-01-30T03:01:00Z</dcterms:created>
  <dcterms:modified xsi:type="dcterms:W3CDTF">2026-10-05T14:39:45Z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F9A9F389768A4074882FD42AB31B68BA_12</vt:lpwstr>
  </property>
  <property fmtid="{D5CDD505-2E9C-101B-9397-08002B2CF9AE}" pid="3" name="KSOProductBuildVer">
    <vt:lpwstr>1033-12.2.0.23196</vt:lpwstr>
  </property>
</Properties>
</file>